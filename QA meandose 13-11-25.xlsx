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8 - Físicos Médicos\Roy\Dose_Police\"/>
    </mc:Choice>
  </mc:AlternateContent>
  <bookViews>
    <workbookView xWindow="0" yWindow="0" windowWidth="28800" windowHeight="13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" i="1"/>
  <c r="H4" i="1"/>
  <c r="H5" i="1"/>
  <c r="H6" i="1"/>
  <c r="H7" i="1"/>
  <c r="H8" i="1"/>
  <c r="H9" i="1"/>
  <c r="H10" i="1"/>
  <c r="H2" i="1"/>
  <c r="E3" i="1"/>
  <c r="E4" i="1"/>
  <c r="E5" i="1"/>
  <c r="E6" i="1"/>
  <c r="E7" i="1"/>
  <c r="E8" i="1"/>
  <c r="E9" i="1"/>
  <c r="E10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<sst xmlns="http://schemas.openxmlformats.org/spreadsheetml/2006/main" count="35" uniqueCount="30">
  <si>
    <t>DVH1</t>
  </si>
  <si>
    <t>CORAZON</t>
  </si>
  <si>
    <t>ESOFAGO</t>
  </si>
  <si>
    <t>MAMA_D</t>
  </si>
  <si>
    <t>MEDULA</t>
  </si>
  <si>
    <t>PACIENTE</t>
  </si>
  <si>
    <t>PTV_VMI</t>
  </si>
  <si>
    <t>PULMON_D</t>
  </si>
  <si>
    <t>PULMON_I</t>
  </si>
  <si>
    <t>VENTRICULO_I</t>
  </si>
  <si>
    <t>DVH2</t>
  </si>
  <si>
    <t>BULBO_PENEANO</t>
  </si>
  <si>
    <t>CAUDA_EQUINA</t>
  </si>
  <si>
    <t>CTV_PR</t>
  </si>
  <si>
    <t>CTV_VS</t>
  </si>
  <si>
    <t>FEMUR_D</t>
  </si>
  <si>
    <t>FEMUR_I</t>
  </si>
  <si>
    <t>GENITALES</t>
  </si>
  <si>
    <t>INTESTINO</t>
  </si>
  <si>
    <t>PRV_CAUDA_EQUINA</t>
  </si>
  <si>
    <t>PTV_PR</t>
  </si>
  <si>
    <t>PTV_VS</t>
  </si>
  <si>
    <t>RECTO</t>
  </si>
  <si>
    <t>SIGMA</t>
  </si>
  <si>
    <t>VEJIGA</t>
  </si>
  <si>
    <t>MONACO</t>
  </si>
  <si>
    <t>DOSEPOLICE_v1</t>
  </si>
  <si>
    <t>SESGO_1</t>
  </si>
  <si>
    <t>DOSEPOLICE_v2</t>
  </si>
  <si>
    <t>SESGO_2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</si>
</sst>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9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J20" sqref="J20"/>
    </sheetView>
  </sheetViews>
  <sheetFormatPr baseColWidth="10" defaultRowHeight="15" x14ac:dyDescent="0.25"/>
  <cols>
    <col min="1" max="1" width="20.140625" customWidth="1"/>
    <col min="2" max="2" width="11.7109375" customWidth="1"/>
    <col min="3" max="3" width="6" customWidth="1"/>
    <col min="4" max="4" width="14.5703125" customWidth="1"/>
    <col min="5" max="5" width="9.7109375" customWidth="1"/>
    <col min="6" max="6" width="5.28515625" customWidth="1"/>
    <col min="7" max="7" width="15" customWidth="1"/>
    <col min="8" max="8" width="9" customWidth="1"/>
  </cols>
  <sheetData>
    <row r="1" spans="1:8" x14ac:dyDescent="0.25">
      <c r="A1" t="s">
        <v>0</v>
      </c>
      <c r="B1" t="s">
        <v>25</v>
      </c>
      <c r="D1" t="s">
        <v>26</v>
      </c>
      <c r="E1" t="s">
        <v>27</v>
      </c>
      <c r="G1" t="s">
        <v>28</v>
      </c>
      <c r="H1" t="s">
        <v>29</v>
      </c>
    </row>
    <row r="2" spans="1:8" x14ac:dyDescent="0.25">
      <c r="A2" t="s">
        <v>1</v>
      </c>
      <c r="B2">
        <v>188.3</v>
      </c>
      <c r="D2">
        <v>474</v>
      </c>
      <c r="E2">
        <f>D2-B2</f>
        <v>285.7</v>
      </c>
      <c r="F2" s="2"/>
      <c r="G2">
        <v>188.3</v>
      </c>
      <c r="H2" s="1">
        <f>G2-B2</f>
        <v>0</v>
      </c>
    </row>
    <row r="3" spans="1:8" x14ac:dyDescent="0.25">
      <c r="A3" t="s">
        <v>2</v>
      </c>
      <c r="B3">
        <v>43.5</v>
      </c>
      <c r="D3">
        <v>27.3</v>
      </c>
      <c r="E3">
        <f>D3-B3</f>
        <v>-16.2</v>
      </c>
      <c r="F3" s="2"/>
      <c r="G3">
        <v>43.5</v>
      </c>
      <c r="H3" s="1">
        <f t="shared" ref="H3:H27" si="0">G3-B3</f>
        <v>0</v>
      </c>
    </row>
    <row r="4" spans="1:8" x14ac:dyDescent="0.25">
      <c r="A4" t="s">
        <v>3</v>
      </c>
      <c r="B4">
        <v>33</v>
      </c>
      <c r="D4">
        <v>28.3</v>
      </c>
      <c r="E4">
        <f>D4-B4</f>
        <v>-4.6999999999999993</v>
      </c>
      <c r="F4" s="2"/>
      <c r="G4">
        <v>33</v>
      </c>
      <c r="H4" s="1">
        <f t="shared" si="0"/>
        <v>0</v>
      </c>
    </row>
    <row r="5" spans="1:8" x14ac:dyDescent="0.25">
      <c r="A5" t="s">
        <v>4</v>
      </c>
      <c r="B5">
        <v>22.3</v>
      </c>
      <c r="D5">
        <v>11.6</v>
      </c>
      <c r="E5">
        <f>D5-B5</f>
        <v>-10.700000000000001</v>
      </c>
      <c r="F5" s="2"/>
      <c r="G5">
        <v>22.3</v>
      </c>
      <c r="H5" s="1">
        <f t="shared" si="0"/>
        <v>0</v>
      </c>
    </row>
    <row r="6" spans="1:8" x14ac:dyDescent="0.25">
      <c r="A6" t="s">
        <v>5</v>
      </c>
      <c r="B6">
        <v>198.4</v>
      </c>
      <c r="D6">
        <v>907.7</v>
      </c>
      <c r="E6">
        <f>D6-B6</f>
        <v>709.30000000000007</v>
      </c>
      <c r="F6" s="2"/>
      <c r="G6">
        <v>198.4</v>
      </c>
      <c r="H6" s="1">
        <f t="shared" si="0"/>
        <v>0</v>
      </c>
    </row>
    <row r="7" spans="1:8" x14ac:dyDescent="0.25">
      <c r="A7" t="s">
        <v>6</v>
      </c>
      <c r="B7">
        <v>2636</v>
      </c>
      <c r="D7">
        <v>1717.9</v>
      </c>
      <c r="E7">
        <f>D7-B7</f>
        <v>-918.09999999999991</v>
      </c>
      <c r="F7" s="2"/>
      <c r="G7">
        <v>2636</v>
      </c>
      <c r="H7" s="1">
        <f t="shared" si="0"/>
        <v>0</v>
      </c>
    </row>
    <row r="8" spans="1:8" x14ac:dyDescent="0.25">
      <c r="A8" t="s">
        <v>7</v>
      </c>
      <c r="B8">
        <v>30.5</v>
      </c>
      <c r="D8">
        <v>22.1</v>
      </c>
      <c r="E8">
        <f>D8-B8</f>
        <v>-8.3999999999999986</v>
      </c>
      <c r="F8" s="2"/>
      <c r="G8">
        <v>30.5</v>
      </c>
      <c r="H8" s="1">
        <f t="shared" si="0"/>
        <v>0</v>
      </c>
    </row>
    <row r="9" spans="1:8" x14ac:dyDescent="0.25">
      <c r="A9" t="s">
        <v>8</v>
      </c>
      <c r="B9">
        <v>363.2</v>
      </c>
      <c r="D9">
        <v>706.7</v>
      </c>
      <c r="E9">
        <f>D9-B9</f>
        <v>343.50000000000006</v>
      </c>
      <c r="F9" s="2"/>
      <c r="G9">
        <v>363.2</v>
      </c>
      <c r="H9" s="1">
        <f t="shared" si="0"/>
        <v>0</v>
      </c>
    </row>
    <row r="10" spans="1:8" x14ac:dyDescent="0.25">
      <c r="A10" t="s">
        <v>9</v>
      </c>
      <c r="B10">
        <v>324.2</v>
      </c>
      <c r="D10">
        <v>623.70000000000005</v>
      </c>
      <c r="E10">
        <f>D10-B10</f>
        <v>299.50000000000006</v>
      </c>
      <c r="F10" s="2"/>
      <c r="G10">
        <v>324.2</v>
      </c>
      <c r="H10" s="1">
        <f t="shared" si="0"/>
        <v>0</v>
      </c>
    </row>
    <row r="11" spans="1:8" x14ac:dyDescent="0.25">
      <c r="F11" s="2"/>
      <c r="H11" s="1"/>
    </row>
    <row r="12" spans="1:8" x14ac:dyDescent="0.25">
      <c r="A12" t="s">
        <v>10</v>
      </c>
      <c r="B12" t="s">
        <v>25</v>
      </c>
      <c r="D12" t="s">
        <v>26</v>
      </c>
      <c r="E12" t="s">
        <v>27</v>
      </c>
      <c r="F12" s="2"/>
      <c r="G12" t="s">
        <v>28</v>
      </c>
      <c r="H12" s="1"/>
    </row>
    <row r="13" spans="1:8" x14ac:dyDescent="0.25">
      <c r="A13" t="s">
        <v>11</v>
      </c>
      <c r="B13">
        <v>646.9</v>
      </c>
      <c r="D13">
        <v>606.6</v>
      </c>
      <c r="E13">
        <f>D13-B13</f>
        <v>-40.299999999999955</v>
      </c>
      <c r="F13" s="2"/>
      <c r="G13">
        <v>646.70000000000005</v>
      </c>
      <c r="H13" s="1">
        <f t="shared" si="0"/>
        <v>-0.19999999999993179</v>
      </c>
    </row>
    <row r="14" spans="1:8" x14ac:dyDescent="0.25">
      <c r="A14" t="s">
        <v>12</v>
      </c>
      <c r="B14">
        <v>29.3</v>
      </c>
      <c r="D14">
        <v>22.5</v>
      </c>
      <c r="E14">
        <f>D14-B14</f>
        <v>-6.8000000000000007</v>
      </c>
      <c r="F14" s="2"/>
      <c r="G14">
        <v>29.3</v>
      </c>
      <c r="H14" s="1">
        <f t="shared" si="0"/>
        <v>0</v>
      </c>
    </row>
    <row r="15" spans="1:8" x14ac:dyDescent="0.25">
      <c r="A15" t="s">
        <v>13</v>
      </c>
      <c r="B15">
        <v>6212</v>
      </c>
      <c r="D15">
        <v>6103.2</v>
      </c>
      <c r="E15">
        <f>D15-B15</f>
        <v>-108.80000000000018</v>
      </c>
      <c r="F15" s="2"/>
      <c r="G15">
        <v>6212</v>
      </c>
      <c r="H15" s="1">
        <f t="shared" si="0"/>
        <v>0</v>
      </c>
    </row>
    <row r="16" spans="1:8" x14ac:dyDescent="0.25">
      <c r="A16" t="s">
        <v>14</v>
      </c>
      <c r="B16">
        <v>6223.7</v>
      </c>
      <c r="D16">
        <v>6057.5</v>
      </c>
      <c r="E16">
        <f>D16-B16</f>
        <v>-166.19999999999982</v>
      </c>
      <c r="F16" s="2"/>
      <c r="G16">
        <v>6223.6</v>
      </c>
      <c r="H16" s="1">
        <f t="shared" si="0"/>
        <v>-9.9999999999454303E-2</v>
      </c>
    </row>
    <row r="17" spans="1:8" x14ac:dyDescent="0.25">
      <c r="A17" t="s">
        <v>15</v>
      </c>
      <c r="B17">
        <v>968.1</v>
      </c>
      <c r="D17">
        <v>656.5</v>
      </c>
      <c r="E17">
        <f>D17-B17</f>
        <v>-311.60000000000002</v>
      </c>
      <c r="F17" s="2"/>
      <c r="G17">
        <v>968.1</v>
      </c>
      <c r="H17" s="1">
        <f t="shared" si="0"/>
        <v>0</v>
      </c>
    </row>
    <row r="18" spans="1:8" x14ac:dyDescent="0.25">
      <c r="A18" t="s">
        <v>16</v>
      </c>
      <c r="B18">
        <v>1072.5999999999999</v>
      </c>
      <c r="D18">
        <v>688.8</v>
      </c>
      <c r="E18">
        <f>D18-B18</f>
        <v>-383.79999999999995</v>
      </c>
      <c r="F18" s="2"/>
      <c r="G18">
        <v>1072.5999999999999</v>
      </c>
      <c r="H18" s="1">
        <f t="shared" si="0"/>
        <v>0</v>
      </c>
    </row>
    <row r="19" spans="1:8" x14ac:dyDescent="0.25">
      <c r="A19" t="s">
        <v>17</v>
      </c>
      <c r="B19">
        <v>170.6</v>
      </c>
      <c r="D19">
        <v>204</v>
      </c>
      <c r="E19">
        <f>D19-B19</f>
        <v>33.400000000000006</v>
      </c>
      <c r="F19" s="2"/>
      <c r="G19">
        <v>170.6</v>
      </c>
      <c r="H19" s="1">
        <f t="shared" si="0"/>
        <v>0</v>
      </c>
    </row>
    <row r="20" spans="1:8" x14ac:dyDescent="0.25">
      <c r="A20" t="s">
        <v>18</v>
      </c>
      <c r="B20">
        <v>21.9</v>
      </c>
      <c r="D20">
        <v>75.2</v>
      </c>
      <c r="E20">
        <f>D20-B20</f>
        <v>53.300000000000004</v>
      </c>
      <c r="F20" s="2"/>
      <c r="G20">
        <v>21.9</v>
      </c>
      <c r="H20" s="1">
        <f t="shared" si="0"/>
        <v>0</v>
      </c>
    </row>
    <row r="21" spans="1:8" x14ac:dyDescent="0.25">
      <c r="A21" t="s">
        <v>5</v>
      </c>
      <c r="B21">
        <v>294.3</v>
      </c>
      <c r="D21">
        <v>771.9</v>
      </c>
      <c r="E21">
        <f>D21-B21</f>
        <v>477.59999999999997</v>
      </c>
      <c r="F21" s="2"/>
      <c r="G21">
        <v>294.3</v>
      </c>
      <c r="H21" s="1">
        <f t="shared" si="0"/>
        <v>0</v>
      </c>
    </row>
    <row r="22" spans="1:8" x14ac:dyDescent="0.25">
      <c r="A22" t="s">
        <v>19</v>
      </c>
      <c r="B22">
        <v>31.9</v>
      </c>
      <c r="D22">
        <v>24.3</v>
      </c>
      <c r="E22">
        <f>D22-B22</f>
        <v>-7.5999999999999979</v>
      </c>
      <c r="F22" s="2"/>
      <c r="G22">
        <v>31.8</v>
      </c>
      <c r="H22" s="1">
        <f t="shared" si="0"/>
        <v>-9.9999999999997868E-2</v>
      </c>
    </row>
    <row r="23" spans="1:8" x14ac:dyDescent="0.25">
      <c r="A23" t="s">
        <v>20</v>
      </c>
      <c r="B23">
        <v>6168.1</v>
      </c>
      <c r="D23">
        <v>5960.2</v>
      </c>
      <c r="E23">
        <f>D23-B23</f>
        <v>-207.90000000000055</v>
      </c>
      <c r="F23" s="2"/>
      <c r="G23">
        <v>6168</v>
      </c>
      <c r="H23" s="1">
        <f t="shared" si="0"/>
        <v>-0.1000000000003638</v>
      </c>
    </row>
    <row r="24" spans="1:8" x14ac:dyDescent="0.25">
      <c r="A24" t="s">
        <v>21</v>
      </c>
      <c r="B24">
        <v>6169.3</v>
      </c>
      <c r="D24">
        <v>5960.3</v>
      </c>
      <c r="E24">
        <f>D24-B24</f>
        <v>-209</v>
      </c>
      <c r="F24" s="2"/>
      <c r="G24">
        <v>6169.2</v>
      </c>
      <c r="H24" s="1">
        <f t="shared" si="0"/>
        <v>-0.1000000000003638</v>
      </c>
    </row>
    <row r="25" spans="1:8" x14ac:dyDescent="0.25">
      <c r="A25" t="s">
        <v>22</v>
      </c>
      <c r="B25">
        <v>2601.3000000000002</v>
      </c>
      <c r="D25">
        <v>1911.4</v>
      </c>
      <c r="E25">
        <f>D25-B25</f>
        <v>-689.90000000000009</v>
      </c>
      <c r="F25" s="2"/>
      <c r="G25">
        <v>2601.3000000000002</v>
      </c>
      <c r="H25" s="1">
        <f t="shared" si="0"/>
        <v>0</v>
      </c>
    </row>
    <row r="26" spans="1:8" x14ac:dyDescent="0.25">
      <c r="A26" t="s">
        <v>23</v>
      </c>
      <c r="B26">
        <v>121.5</v>
      </c>
      <c r="D26">
        <v>254.3</v>
      </c>
      <c r="E26">
        <f>D26-B26</f>
        <v>132.80000000000001</v>
      </c>
      <c r="F26" s="2"/>
      <c r="G26">
        <v>121.5</v>
      </c>
      <c r="H26" s="1">
        <f t="shared" si="0"/>
        <v>0</v>
      </c>
    </row>
    <row r="27" spans="1:8" x14ac:dyDescent="0.25">
      <c r="A27" t="s">
        <v>24</v>
      </c>
      <c r="B27">
        <v>925.6</v>
      </c>
      <c r="D27">
        <v>1276</v>
      </c>
      <c r="E27">
        <f>D27-B27</f>
        <v>350.4</v>
      </c>
      <c r="F27" s="2"/>
      <c r="G27">
        <v>925.6</v>
      </c>
      <c r="H27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INTECNUS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Lápera</dc:creator>
  <cp:lastModifiedBy>Roy Lápera</cp:lastModifiedBy>
  <dcterms:created xsi:type="dcterms:W3CDTF">2025-11-13T16:19:22Z</dcterms:created>
  <dcterms:modified xsi:type="dcterms:W3CDTF">2025-11-13T19:13:37Z</dcterms:modified>
</cp:coreProperties>
</file>